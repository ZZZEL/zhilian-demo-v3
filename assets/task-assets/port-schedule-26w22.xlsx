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复核摘要" sheetId="1" state="visible" r:id="rId1"/>
    <sheet xmlns:r="http://schemas.openxmlformats.org/officeDocument/2006/relationships" name="港口明细" sheetId="2" state="visible" r:id="rId2"/>
    <sheet xmlns:r="http://schemas.openxmlformats.org/officeDocument/2006/relationships" name="建议动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5">
    <font>
      <name val="Calibri"/>
      <family val="2"/>
      <color theme="1"/>
      <sz val="11"/>
      <scheme val="minor"/>
    </font>
    <font>
      <name val="Microsoft YaHei"/>
      <color rgb="00202938"/>
      <sz val="10"/>
    </font>
    <font>
      <name val="Microsoft YaHei"/>
      <b val="1"/>
      <color rgb="001F2937"/>
      <sz val="11"/>
    </font>
    <font>
      <name val="Microsoft YaHei"/>
      <b val="1"/>
      <color rgb="00202938"/>
      <sz val="10"/>
    </font>
    <font>
      <name val="Microsoft YaHei"/>
      <b val="1"/>
      <color rgb="009B1C1C"/>
    </font>
  </fonts>
  <fills count="6">
    <fill>
      <patternFill/>
    </fill>
    <fill>
      <patternFill patternType="gray125"/>
    </fill>
    <fill>
      <patternFill patternType="solid">
        <fgColor rgb="00EAF1FF"/>
      </patternFill>
    </fill>
    <fill>
      <patternFill patternType="solid">
        <fgColor rgb="00FFE8E8"/>
      </patternFill>
    </fill>
    <fill>
      <patternFill patternType="solid">
        <fgColor rgb="00FFF5D6"/>
      </patternFill>
    </fill>
    <fill>
      <patternFill patternType="solid">
        <fgColor rgb="00E8F7EF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1" fontId="1" fillId="0" borderId="1" applyAlignment="1" pivotButton="0" quotePrefix="0" xfId="0">
      <alignment vertical="center" wrapText="1"/>
    </xf>
    <xf numFmtId="164" fontId="1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FE8E8"/>
        </patternFill>
      </fill>
    </dxf>
    <dxf>
      <fill>
        <patternFill patternType="solid">
          <fgColor rgb="00FFF5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重点港口库存对比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'港口明细'!B1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'港口明细'!$A$2:$A$9</f>
            </numRef>
          </cat>
          <val>
            <numRef>
              <f>'港口明细'!$B$2:$B$9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港口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库存万吨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ummary_port_schedule_26w22" displayName="Summary_port_schedule_26w22" ref="A1:C8" headerRowCount="1">
  <autoFilter ref="A1:C8"/>
  <tableColumns count="3">
    <tableColumn id="1" name="指标"/>
    <tableColumn id="2" name="结果"/>
    <tableColumn id="3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ortDetail_port_schedule_26w22" displayName="PortDetail_port_schedule_26w22" ref="A1:J9" headerRowCount="1">
  <autoFilter ref="A1:J9"/>
  <tableColumns count="10">
    <tableColumn id="1" name="港口"/>
    <tableColumn id="2" name="库存万吨"/>
    <tableColumn id="3" name="上周库存"/>
    <tableColumn id="4" name="周变化"/>
    <tableColumn id="5" name="排队船舶"/>
    <tableColumn id="6" name="预计到港"/>
    <tableColumn id="7" name="卸港效率%"/>
    <tableColumn id="8" name="仓容利用率%"/>
    <tableColumn id="9" name="交付影响"/>
    <tableColumn id="10" name="状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ctions_port_schedule_26w22" displayName="Actions_port_schedule_26w22" ref="A1:D5" headerRowCount="1">
  <autoFilter ref="A1:D5"/>
  <tableColumns count="4">
    <tableColumn id="1" name="动作"/>
    <tableColumn id="2" name="触发依据"/>
    <tableColumn id="3" name="责任方向"/>
    <tableColumn id="4" name="优先级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58" customWidth="1" min="3" max="3"/>
  </cols>
  <sheetData>
    <row r="1">
      <c r="A1" s="1" t="inlineStr">
        <is>
          <t>指标</t>
        </is>
      </c>
      <c r="B1" s="1" t="inlineStr">
        <is>
          <t>结果</t>
        </is>
      </c>
      <c r="C1" s="1" t="inlineStr">
        <is>
          <t>说明</t>
        </is>
      </c>
    </row>
    <row r="2">
      <c r="A2" s="2" t="inlineStr">
        <is>
          <t>复核周次</t>
        </is>
      </c>
      <c r="B2" s="2" t="inlineStr">
        <is>
          <t>26W22</t>
        </is>
      </c>
      <c r="C2" s="2" t="inlineStr">
        <is>
          <t>整理 W22 库存变化、排队船舶、入库节奏和仓容预警状态，补充港区公告对交付窗口的影响。</t>
        </is>
      </c>
    </row>
    <row r="3">
      <c r="A3" s="2" t="inlineStr">
        <is>
          <t>覆盖港口</t>
        </is>
      </c>
      <c r="B3" s="2">
        <f>COUNTA(港口明细!A2:A200)</f>
        <v/>
      </c>
      <c r="C3" s="2" t="inlineStr">
        <is>
          <t>按港口明细表自动统计</t>
        </is>
      </c>
    </row>
    <row r="4">
      <c r="A4" s="2" t="inlineStr">
        <is>
          <t>异常港区</t>
        </is>
      </c>
      <c r="B4" s="2">
        <f>COUNTIF(港口明细!J2:J200,"&lt;&gt;正常")</f>
        <v/>
      </c>
      <c r="C4" s="2" t="inlineStr">
        <is>
          <t>关注或待复核状态</t>
        </is>
      </c>
    </row>
    <row r="5">
      <c r="A5" s="2" t="inlineStr">
        <is>
          <t>平均排队船舶</t>
        </is>
      </c>
      <c r="B5" s="2">
        <f>ROUND(AVERAGE(港口明细!E2:E200),1)</f>
        <v/>
      </c>
      <c r="C5" s="2" t="inlineStr">
        <is>
          <t>按重点港口样本计算</t>
        </is>
      </c>
    </row>
    <row r="6">
      <c r="A6" s="2" t="inlineStr">
        <is>
          <t>合计库存万吨</t>
        </is>
      </c>
      <c r="B6" s="2">
        <f>SUM(港口明细!B2:B200)</f>
        <v/>
      </c>
      <c r="C6" s="2" t="inlineStr">
        <is>
          <t>自动汇总港口库存</t>
        </is>
      </c>
    </row>
    <row r="7">
      <c r="A7" s="2" t="inlineStr">
        <is>
          <t>平均仓容利用率</t>
        </is>
      </c>
      <c r="B7" s="2">
        <f>ROUND(AVERAGE(港口明细!H2:H200),1)&amp;"%"</f>
        <v/>
      </c>
      <c r="C7" s="2" t="inlineStr">
        <is>
          <t>高于 85% 需关注</t>
        </is>
      </c>
    </row>
    <row r="8">
      <c r="A8" s="2" t="inlineStr">
        <is>
          <t>生成时间</t>
        </is>
      </c>
      <c r="B8" s="2" t="inlineStr">
        <is>
          <t>6月4日 14:22</t>
        </is>
      </c>
      <c r="C8" s="2" t="inlineStr">
        <is>
          <t>资产编号：port-schedule-26w22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4" customWidth="1" min="8" max="8"/>
    <col width="28" customWidth="1" min="9" max="9"/>
    <col width="12" customWidth="1" min="10" max="10"/>
  </cols>
  <sheetData>
    <row r="1">
      <c r="A1" s="1" t="inlineStr">
        <is>
          <t>港口</t>
        </is>
      </c>
      <c r="B1" s="1" t="inlineStr">
        <is>
          <t>库存万吨</t>
        </is>
      </c>
      <c r="C1" s="1" t="inlineStr">
        <is>
          <t>上周库存</t>
        </is>
      </c>
      <c r="D1" s="1" t="inlineStr">
        <is>
          <t>周变化</t>
        </is>
      </c>
      <c r="E1" s="1" t="inlineStr">
        <is>
          <t>排队船舶</t>
        </is>
      </c>
      <c r="F1" s="1" t="inlineStr">
        <is>
          <t>预计到港</t>
        </is>
      </c>
      <c r="G1" s="1" t="inlineStr">
        <is>
          <t>卸港效率%</t>
        </is>
      </c>
      <c r="H1" s="1" t="inlineStr">
        <is>
          <t>仓容利用率%</t>
        </is>
      </c>
      <c r="I1" s="1" t="inlineStr">
        <is>
          <t>交付影响</t>
        </is>
      </c>
      <c r="J1" s="1" t="inlineStr">
        <is>
          <t>状态</t>
        </is>
      </c>
    </row>
    <row r="2">
      <c r="A2" s="2" t="inlineStr">
        <is>
          <t>青岛港</t>
        </is>
      </c>
      <c r="B2" s="3" t="n">
        <v>148</v>
      </c>
      <c r="C2" s="3" t="n">
        <v>148</v>
      </c>
      <c r="D2" s="4" t="n">
        <v>0</v>
      </c>
      <c r="E2" s="2" t="n">
        <v>8</v>
      </c>
      <c r="F2" s="2" t="inlineStr">
        <is>
          <t>06-23</t>
        </is>
      </c>
      <c r="G2" s="3" t="n">
        <v>93</v>
      </c>
      <c r="H2" s="3" t="n">
        <v>84</v>
      </c>
      <c r="I2" s="2" t="inlineStr">
        <is>
          <t>需调整转运计划</t>
        </is>
      </c>
      <c r="J2" s="5" t="inlineStr">
        <is>
          <t>待复核</t>
        </is>
      </c>
    </row>
    <row r="3">
      <c r="A3" s="2" t="inlineStr">
        <is>
          <t>日照港</t>
        </is>
      </c>
      <c r="B3" s="3" t="n">
        <v>159</v>
      </c>
      <c r="C3" s="3" t="n">
        <v>153</v>
      </c>
      <c r="D3" s="4" t="n">
        <v>6</v>
      </c>
      <c r="E3" s="2" t="n">
        <v>9</v>
      </c>
      <c r="F3" s="2" t="inlineStr">
        <is>
          <t>06-01</t>
        </is>
      </c>
      <c r="G3" s="3" t="n">
        <v>86</v>
      </c>
      <c r="H3" s="3" t="n">
        <v>89</v>
      </c>
      <c r="I3" s="2" t="inlineStr">
        <is>
          <t>关注卸港效率</t>
        </is>
      </c>
      <c r="J3" s="5" t="inlineStr">
        <is>
          <t>待复核</t>
        </is>
      </c>
    </row>
    <row r="4">
      <c r="A4" s="2" t="inlineStr">
        <is>
          <t>连云港</t>
        </is>
      </c>
      <c r="B4" s="3" t="n">
        <v>170</v>
      </c>
      <c r="C4" s="3" t="n">
        <v>158</v>
      </c>
      <c r="D4" s="4" t="n">
        <v>12</v>
      </c>
      <c r="E4" s="2" t="n">
        <v>2</v>
      </c>
      <c r="F4" s="2" t="inlineStr">
        <is>
          <t>06-03</t>
        </is>
      </c>
      <c r="G4" s="3" t="n">
        <v>82</v>
      </c>
      <c r="H4" s="3" t="n">
        <v>63</v>
      </c>
      <c r="I4" s="2" t="inlineStr">
        <is>
          <t>暂无显著影响</t>
        </is>
      </c>
      <c r="J4" s="6" t="inlineStr">
        <is>
          <t>关注</t>
        </is>
      </c>
    </row>
    <row r="5">
      <c r="A5" s="2" t="inlineStr">
        <is>
          <t>南通港</t>
        </is>
      </c>
      <c r="B5" s="3" t="n">
        <v>181</v>
      </c>
      <c r="C5" s="3" t="n">
        <v>190</v>
      </c>
      <c r="D5" s="4" t="n">
        <v>-9</v>
      </c>
      <c r="E5" s="2" t="n">
        <v>3</v>
      </c>
      <c r="F5" s="2" t="inlineStr">
        <is>
          <t>06-05</t>
        </is>
      </c>
      <c r="G5" s="3" t="n">
        <v>88</v>
      </c>
      <c r="H5" s="3" t="n">
        <v>68</v>
      </c>
      <c r="I5" s="2" t="inlineStr">
        <is>
          <t>需复核客户窗口</t>
        </is>
      </c>
      <c r="J5" s="7" t="inlineStr">
        <is>
          <t>正常</t>
        </is>
      </c>
    </row>
    <row r="6">
      <c r="A6" s="2" t="inlineStr">
        <is>
          <t>天津港</t>
        </is>
      </c>
      <c r="B6" s="3" t="n">
        <v>192</v>
      </c>
      <c r="C6" s="3" t="n">
        <v>195</v>
      </c>
      <c r="D6" s="4" t="n">
        <v>-3</v>
      </c>
      <c r="E6" s="2" t="n">
        <v>4</v>
      </c>
      <c r="F6" s="2" t="inlineStr">
        <is>
          <t>06-07</t>
        </is>
      </c>
      <c r="G6" s="3" t="n">
        <v>76</v>
      </c>
      <c r="H6" s="3" t="n">
        <v>73</v>
      </c>
      <c r="I6" s="2" t="inlineStr">
        <is>
          <t>部分批次可能延后</t>
        </is>
      </c>
      <c r="J6" s="5" t="inlineStr">
        <is>
          <t>待复核</t>
        </is>
      </c>
    </row>
    <row r="7">
      <c r="A7" s="2" t="inlineStr">
        <is>
          <t>防城港</t>
        </is>
      </c>
      <c r="B7" s="3" t="n">
        <v>203</v>
      </c>
      <c r="C7" s="3" t="n">
        <v>200</v>
      </c>
      <c r="D7" s="4" t="n">
        <v>3</v>
      </c>
      <c r="E7" s="2" t="n">
        <v>5</v>
      </c>
      <c r="F7" s="2" t="inlineStr">
        <is>
          <t>06-09</t>
        </is>
      </c>
      <c r="G7" s="3" t="n">
        <v>91</v>
      </c>
      <c r="H7" s="3" t="n">
        <v>78</v>
      </c>
      <c r="I7" s="2" t="inlineStr">
        <is>
          <t>确认入库节奏</t>
        </is>
      </c>
      <c r="J7" s="7" t="inlineStr">
        <is>
          <t>正常</t>
        </is>
      </c>
    </row>
    <row r="8">
      <c r="A8" s="2" t="inlineStr">
        <is>
          <t>曹妃甸港</t>
        </is>
      </c>
      <c r="B8" s="3" t="n">
        <v>214</v>
      </c>
      <c r="C8" s="3" t="n">
        <v>205</v>
      </c>
      <c r="D8" s="4" t="n">
        <v>9</v>
      </c>
      <c r="E8" s="2" t="n">
        <v>6</v>
      </c>
      <c r="F8" s="2" t="inlineStr">
        <is>
          <t>06-11</t>
        </is>
      </c>
      <c r="G8" s="3" t="n">
        <v>84</v>
      </c>
      <c r="H8" s="3" t="n">
        <v>83</v>
      </c>
      <c r="I8" s="2" t="inlineStr">
        <is>
          <t>关注仓容预警</t>
        </is>
      </c>
      <c r="J8" s="6" t="inlineStr">
        <is>
          <t>关注</t>
        </is>
      </c>
    </row>
    <row r="9">
      <c r="A9" s="2" t="inlineStr">
        <is>
          <t>广州港</t>
        </is>
      </c>
      <c r="B9" s="3" t="n">
        <v>225</v>
      </c>
      <c r="C9" s="3" t="n">
        <v>237</v>
      </c>
      <c r="D9" s="4" t="n">
        <v>-12</v>
      </c>
      <c r="E9" s="2" t="n">
        <v>7</v>
      </c>
      <c r="F9" s="2" t="inlineStr">
        <is>
          <t>06-13</t>
        </is>
      </c>
      <c r="G9" s="3" t="n">
        <v>79</v>
      </c>
      <c r="H9" s="3" t="n">
        <v>88</v>
      </c>
      <c r="I9" s="2" t="inlineStr">
        <is>
          <t>等待港区公告</t>
        </is>
      </c>
      <c r="J9" s="5" t="inlineStr">
        <is>
          <t>待复核</t>
        </is>
      </c>
    </row>
  </sheetData>
  <conditionalFormatting sqref="D2:D9">
    <cfRule type="cellIs" priority="1" operator="greaterThan" dxfId="0">
      <formula>8</formula>
    </cfRule>
  </conditionalFormatting>
  <conditionalFormatting sqref="G2:G9">
    <cfRule type="cellIs" priority="2" operator="lessThan" dxfId="0">
      <formula>80</formula>
    </cfRule>
  </conditionalFormatting>
  <conditionalFormatting sqref="H2:H9">
    <cfRule type="cellIs" priority="3" operator="greaterThanOrEqual" dxfId="1">
      <formula>85</formula>
    </cfRule>
  </conditionalFormatting>
  <conditionalFormatting sqref="B2:B9">
    <cfRule type="dataBar" priority="4">
      <dataBar>
        <cfvo type="min"/>
        <cfvo type="max"/>
        <color rgb="005B8DEF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6" customWidth="1" min="3" max="3"/>
    <col width="12" customWidth="1" min="4" max="4"/>
  </cols>
  <sheetData>
    <row r="1">
      <c r="A1" s="1" t="inlineStr">
        <is>
          <t>动作</t>
        </is>
      </c>
      <c r="B1" s="1" t="inlineStr">
        <is>
          <t>触发依据</t>
        </is>
      </c>
      <c r="C1" s="1" t="inlineStr">
        <is>
          <t>责任方向</t>
        </is>
      </c>
      <c r="D1" s="1" t="inlineStr">
        <is>
          <t>优先级</t>
        </is>
      </c>
    </row>
    <row r="2">
      <c r="A2" s="2" t="inlineStr">
        <is>
          <t>复核重点客户交付窗口</t>
        </is>
      </c>
      <c r="B2" s="2" t="inlineStr">
        <is>
          <t>船期推迟或卸港效率低于 80%</t>
        </is>
      </c>
      <c r="C2" s="2" t="inlineStr">
        <is>
          <t>运营负责人</t>
        </is>
      </c>
      <c r="D2" s="8" t="inlineStr">
        <is>
          <t>高</t>
        </is>
      </c>
    </row>
    <row r="3">
      <c r="A3" s="2" t="inlineStr">
        <is>
          <t>更新入库节奏</t>
        </is>
      </c>
      <c r="B3" s="2" t="inlineStr">
        <is>
          <t>库存下降且排船增加</t>
        </is>
      </c>
      <c r="C3" s="2" t="inlineStr">
        <is>
          <t>港口运营</t>
        </is>
      </c>
      <c r="D3" s="2" t="inlineStr">
        <is>
          <t>中</t>
        </is>
      </c>
    </row>
    <row r="4">
      <c r="A4" s="2" t="inlineStr">
        <is>
          <t>补充港区公告来源</t>
        </is>
      </c>
      <c r="B4" s="2" t="inlineStr">
        <is>
          <t>公告与船期表存在时间差</t>
        </is>
      </c>
      <c r="C4" s="2" t="inlineStr">
        <is>
          <t>资料运营</t>
        </is>
      </c>
      <c r="D4" s="2" t="inlineStr">
        <is>
          <t>中</t>
        </is>
      </c>
    </row>
    <row r="5">
      <c r="A5" s="2" t="inlineStr">
        <is>
          <t>确认转运计划</t>
        </is>
      </c>
      <c r="B5" s="2" t="inlineStr">
        <is>
          <t>仓容利用率高于 85%</t>
        </is>
      </c>
      <c r="C5" s="2" t="inlineStr">
        <is>
          <t>物流调度</t>
        </is>
      </c>
      <c r="D5" s="8" t="inlineStr">
        <is>
          <t>高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2026-06-18T07:44:09Z</dcterms:created>
  <dcterms:modified xmlns:dcterms="http://purl.org/dc/terms/" xmlns:xsi="http://www.w3.org/2001/XMLSchema-instance" xsi:type="dcterms:W3CDTF">2026-06-18T07:44:09Z</dcterms:modified>
</cp:coreProperties>
</file>